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8_{E271B60A-5963-2243-950F-91C93F36B220}" xr6:coauthVersionLast="38" xr6:coauthVersionMax="38" xr10:uidLastSave="{00000000-0000-0000-0000-000000000000}"/>
  <bookViews>
    <workbookView xWindow="0" yWindow="480" windowWidth="28800" windowHeight="17520" xr2:uid="{00000000-000D-0000-FFFF-FFFF00000000}"/>
  </bookViews>
  <sheets>
    <sheet name="SUB-DATA  FOR PREDI. MODEL DEV.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1" l="1"/>
  <c r="U10" i="1" s="1"/>
  <c r="T9" i="1"/>
  <c r="U9" i="1" s="1"/>
  <c r="T8" i="1"/>
  <c r="T7" i="1"/>
  <c r="T6" i="1"/>
  <c r="U6" i="1" s="1"/>
  <c r="T5" i="1"/>
  <c r="T4" i="1"/>
  <c r="T3" i="1"/>
  <c r="P10" i="1"/>
  <c r="Q10" i="1" s="1"/>
  <c r="R10" i="1" s="1"/>
  <c r="L10" i="1"/>
  <c r="M10" i="1" s="1"/>
  <c r="N10" i="1" s="1"/>
  <c r="J10" i="1"/>
  <c r="V10" i="1" s="1"/>
  <c r="W10" i="1" s="1"/>
  <c r="H10" i="1"/>
  <c r="P9" i="1"/>
  <c r="Q9" i="1" s="1"/>
  <c r="R9" i="1" s="1"/>
  <c r="L9" i="1"/>
  <c r="M9" i="1" s="1"/>
  <c r="N9" i="1" s="1"/>
  <c r="J9" i="1"/>
  <c r="V9" i="1" s="1"/>
  <c r="W9" i="1" s="1"/>
  <c r="H9" i="1"/>
  <c r="U8" i="1"/>
  <c r="P8" i="1"/>
  <c r="Q8" i="1" s="1"/>
  <c r="R8" i="1" s="1"/>
  <c r="L8" i="1"/>
  <c r="M8" i="1" s="1"/>
  <c r="N8" i="1" s="1"/>
  <c r="J8" i="1"/>
  <c r="V8" i="1" s="1"/>
  <c r="W8" i="1" s="1"/>
  <c r="H8" i="1"/>
  <c r="U7" i="1"/>
  <c r="P7" i="1"/>
  <c r="Q7" i="1" s="1"/>
  <c r="R7" i="1" s="1"/>
  <c r="L7" i="1"/>
  <c r="M7" i="1" s="1"/>
  <c r="N7" i="1" s="1"/>
  <c r="J7" i="1"/>
  <c r="V7" i="1" s="1"/>
  <c r="W7" i="1" s="1"/>
  <c r="H7" i="1"/>
  <c r="P6" i="1"/>
  <c r="Q6" i="1" s="1"/>
  <c r="R6" i="1" s="1"/>
  <c r="L6" i="1"/>
  <c r="M6" i="1" s="1"/>
  <c r="N6" i="1" s="1"/>
  <c r="J6" i="1"/>
  <c r="V6" i="1" s="1"/>
  <c r="W6" i="1" s="1"/>
  <c r="H6" i="1"/>
  <c r="U5" i="1"/>
  <c r="P5" i="1"/>
  <c r="Q5" i="1" s="1"/>
  <c r="R5" i="1" s="1"/>
  <c r="L5" i="1"/>
  <c r="M5" i="1" s="1"/>
  <c r="N5" i="1" s="1"/>
  <c r="J5" i="1"/>
  <c r="V5" i="1" s="1"/>
  <c r="W5" i="1" s="1"/>
  <c r="H5" i="1"/>
  <c r="U4" i="1"/>
  <c r="P4" i="1"/>
  <c r="Q4" i="1" s="1"/>
  <c r="R4" i="1" s="1"/>
  <c r="L4" i="1"/>
  <c r="M4" i="1" s="1"/>
  <c r="N4" i="1" s="1"/>
  <c r="J4" i="1"/>
  <c r="V4" i="1" s="1"/>
  <c r="W4" i="1" s="1"/>
  <c r="H4" i="1"/>
  <c r="U3" i="1"/>
  <c r="P3" i="1"/>
  <c r="Q3" i="1" s="1"/>
  <c r="R3" i="1" s="1"/>
  <c r="L3" i="1"/>
  <c r="M3" i="1" s="1"/>
  <c r="N3" i="1" s="1"/>
  <c r="J3" i="1"/>
  <c r="V3" i="1" s="1"/>
  <c r="W3" i="1" s="1"/>
  <c r="H3" i="1"/>
</calcChain>
</file>

<file path=xl/sharedStrings.xml><?xml version="1.0" encoding="utf-8"?>
<sst xmlns="http://schemas.openxmlformats.org/spreadsheetml/2006/main" count="39" uniqueCount="37">
  <si>
    <t>S/N</t>
  </si>
  <si>
    <t>CASE STUDY A</t>
  </si>
  <si>
    <t>Gombe</t>
  </si>
  <si>
    <t>CASE STUDY B</t>
  </si>
  <si>
    <t>Adamawa</t>
  </si>
  <si>
    <t>CASE STUDY C</t>
  </si>
  <si>
    <t>CASE STUDY D</t>
  </si>
  <si>
    <t>Yobe</t>
  </si>
  <si>
    <t>CASE STUDY E</t>
  </si>
  <si>
    <t>Borno</t>
  </si>
  <si>
    <t>CASE STUDY F</t>
  </si>
  <si>
    <t>CASE STUDY G</t>
  </si>
  <si>
    <t>Bauchi</t>
  </si>
  <si>
    <t>CASE STUDY H</t>
  </si>
  <si>
    <t>Taraba</t>
  </si>
  <si>
    <r>
      <t>NGAF Nigeria (N) KgCO</t>
    </r>
    <r>
      <rPr>
        <b/>
        <vertAlign val="subscript"/>
        <sz val="9"/>
        <color theme="1"/>
        <rFont val="Calibri"/>
        <family val="2"/>
        <scheme val="minor"/>
      </rPr>
      <t>2</t>
    </r>
    <r>
      <rPr>
        <b/>
        <sz val="9"/>
        <color theme="1"/>
        <rFont val="Calibri"/>
        <family val="2"/>
        <scheme val="minor"/>
      </rPr>
      <t>e/kWh</t>
    </r>
  </si>
  <si>
    <r>
      <t>LCOE</t>
    </r>
    <r>
      <rPr>
        <b/>
        <strike/>
        <sz val="9"/>
        <color theme="1"/>
        <rFont val="Calibri"/>
        <family val="2"/>
        <scheme val="minor"/>
      </rPr>
      <t>-N</t>
    </r>
    <r>
      <rPr>
        <b/>
        <sz val="9"/>
        <color theme="1"/>
        <rFont val="Calibri"/>
        <family val="2"/>
        <scheme val="minor"/>
      </rPr>
      <t>/unit (T)</t>
    </r>
  </si>
  <si>
    <t>Cost of energy consumed from the Grid kWh/30yrs (₦)      ( U)</t>
  </si>
  <si>
    <t>Payback  period -Yrs (M) = C/L</t>
  </si>
  <si>
    <t>total life time energy production (KWh)  E*25(S)</t>
  </si>
  <si>
    <r>
      <t>LCC at 25yrs-(</t>
    </r>
    <r>
      <rPr>
        <b/>
        <strike/>
        <sz val="9"/>
        <color theme="1"/>
        <rFont val="Calibri"/>
        <family val="2"/>
        <scheme val="minor"/>
      </rPr>
      <t>N</t>
    </r>
    <r>
      <rPr>
        <b/>
        <sz val="9"/>
        <color theme="1"/>
        <rFont val="Calibri"/>
        <family val="2"/>
        <scheme val="minor"/>
      </rPr>
      <t xml:space="preserve">)         (R) </t>
    </r>
  </si>
  <si>
    <t>Annual Reduced carbon KgCO2e/kWh  (P) = N*E</t>
  </si>
  <si>
    <t>Reduced carbon emission  (tonnes) (Q) P/1000</t>
  </si>
  <si>
    <t>initial cost of investment/ - C</t>
  </si>
  <si>
    <t>State / Location B</t>
  </si>
  <si>
    <t>Institution / Case Study      A</t>
  </si>
  <si>
    <t>Annual energy consumption from the grid (kWh)            D</t>
  </si>
  <si>
    <t>annual Energy Generation from Pv system(KWh)            E</t>
  </si>
  <si>
    <t>percentage %                       F</t>
  </si>
  <si>
    <t>Electricity tarrif (₦)/KWh              G</t>
  </si>
  <si>
    <t>Cost of energy consumed from the Grid kWh/year (₦)      = G*D                           H</t>
  </si>
  <si>
    <t>annual cost of energy produced by Pv system                J</t>
  </si>
  <si>
    <t xml:space="preserve">cost of maintenance= 1% of J                       K </t>
  </si>
  <si>
    <t>total lifecycle Reduced carbon emission  (tonnes)</t>
  </si>
  <si>
    <t>net Annual costof energy produced by Pv system    =J-K                  L</t>
  </si>
  <si>
    <t>Savings at 25yrs lifespan -(₦) -(V)           (J-K)</t>
  </si>
  <si>
    <t>existing Pv system. Size/capacity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</si>
</sst>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bscript"/>
      <sz val="9"/>
      <color theme="1"/>
      <name val="Calibri"/>
      <family val="2"/>
      <scheme val="minor"/>
    </font>
    <font>
      <b/>
      <strike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/>
    <xf numFmtId="0" fontId="0" fillId="0" borderId="0" xfId="0" applyFont="1"/>
    <xf numFmtId="4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DELIVERABLES</v>
          </cell>
        </row>
        <row r="2">
          <cell r="B2" t="str">
            <v>Economic metrics</v>
          </cell>
        </row>
        <row r="3">
          <cell r="B3">
            <v>1</v>
          </cell>
          <cell r="C3" t="str">
            <v>Initial Investment Cost (upfront Cost  in NGN)</v>
          </cell>
        </row>
        <row r="4">
          <cell r="B4">
            <v>2</v>
          </cell>
          <cell r="C4" t="str">
            <v>Probable sytem capacity  (in KVA)</v>
          </cell>
        </row>
        <row r="5">
          <cell r="B5">
            <v>3</v>
          </cell>
          <cell r="C5" t="str">
            <v>levelized cost of energy( LCOE in NGN)</v>
          </cell>
        </row>
        <row r="6">
          <cell r="B6">
            <v>4</v>
          </cell>
          <cell r="C6" t="str">
            <v>net lifecycle cost savings-25yrs in NGN</v>
          </cell>
        </row>
        <row r="7">
          <cell r="B7">
            <v>5</v>
          </cell>
          <cell r="C7" t="str">
            <v>Payback period (PBP in Yrs)</v>
          </cell>
        </row>
        <row r="8">
          <cell r="B8" t="str">
            <v>Environmental metrics</v>
          </cell>
        </row>
        <row r="9">
          <cell r="B9">
            <v>6</v>
          </cell>
          <cell r="C9" t="str">
            <v>Reduced carbon Emission  (KgCO2e/kWh  or in tons)</v>
          </cell>
        </row>
        <row r="10">
          <cell r="B10">
            <v>7</v>
          </cell>
          <cell r="C10" t="str">
            <v>% performance of the PV system (%)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24"/>
  <sheetViews>
    <sheetView tabSelected="1" zoomScaleNormal="100" workbookViewId="0">
      <selection activeCell="H3" sqref="H3"/>
    </sheetView>
  </sheetViews>
  <sheetFormatPr baseColWidth="10" defaultColWidth="8.83203125" defaultRowHeight="15" x14ac:dyDescent="0.2"/>
  <cols>
    <col min="1" max="1" width="3.5" style="1" bestFit="1" customWidth="1"/>
    <col min="2" max="2" width="40.6640625" bestFit="1" customWidth="1"/>
    <col min="3" max="3" width="7" bestFit="1" customWidth="1"/>
    <col min="4" max="4" width="10.5" bestFit="1" customWidth="1"/>
    <col min="5" max="5" width="9.33203125" bestFit="1" customWidth="1"/>
    <col min="6" max="6" width="12.83203125" bestFit="1" customWidth="1"/>
    <col min="7" max="7" width="13.5" bestFit="1" customWidth="1"/>
    <col min="8" max="8" width="8.33203125" bestFit="1" customWidth="1"/>
    <col min="9" max="9" width="7.1640625" bestFit="1" customWidth="1"/>
    <col min="10" max="10" width="14.83203125" bestFit="1" customWidth="1"/>
    <col min="11" max="11" width="11.5" bestFit="1" customWidth="1"/>
    <col min="12" max="12" width="10" bestFit="1" customWidth="1"/>
    <col min="13" max="13" width="16.33203125" style="1" bestFit="1" customWidth="1"/>
    <col min="14" max="14" width="8.1640625" bestFit="1" customWidth="1"/>
    <col min="15" max="15" width="9.33203125" bestFit="1" customWidth="1"/>
    <col min="16" max="16" width="9.6640625" style="1" bestFit="1" customWidth="1"/>
    <col min="17" max="17" width="9" style="1" bestFit="1" customWidth="1"/>
    <col min="18" max="18" width="9.5" style="1" bestFit="1" customWidth="1"/>
    <col min="19" max="19" width="11.33203125" style="1" bestFit="1" customWidth="1"/>
    <col min="20" max="20" width="10.5" style="1" bestFit="1" customWidth="1"/>
    <col min="21" max="21" width="11" bestFit="1" customWidth="1"/>
    <col min="22" max="22" width="12.5" bestFit="1" customWidth="1"/>
    <col min="23" max="23" width="11.83203125" style="1" bestFit="1" customWidth="1"/>
    <col min="24" max="24" width="11.83203125" customWidth="1"/>
  </cols>
  <sheetData>
    <row r="1" spans="1:24" ht="16" thickBot="1" x14ac:dyDescent="0.25"/>
    <row r="2" spans="1:24" ht="66" thickBot="1" x14ac:dyDescent="0.25">
      <c r="A2" s="2" t="s">
        <v>0</v>
      </c>
      <c r="B2" s="2" t="s">
        <v>25</v>
      </c>
      <c r="C2" s="2" t="s">
        <v>24</v>
      </c>
      <c r="D2" s="2" t="s">
        <v>23</v>
      </c>
      <c r="E2" s="19" t="s">
        <v>36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34</v>
      </c>
      <c r="N2" s="2" t="s">
        <v>18</v>
      </c>
      <c r="O2" s="2" t="s">
        <v>15</v>
      </c>
      <c r="P2" s="2" t="s">
        <v>21</v>
      </c>
      <c r="Q2" s="2" t="s">
        <v>22</v>
      </c>
      <c r="R2" s="2" t="s">
        <v>33</v>
      </c>
      <c r="S2" s="2" t="s">
        <v>20</v>
      </c>
      <c r="T2" s="2" t="s">
        <v>19</v>
      </c>
      <c r="U2" s="2" t="s">
        <v>16</v>
      </c>
      <c r="V2" s="2" t="s">
        <v>17</v>
      </c>
      <c r="W2" s="11" t="s">
        <v>35</v>
      </c>
    </row>
    <row r="3" spans="1:24" s="17" customFormat="1" ht="21" customHeight="1" x14ac:dyDescent="0.2">
      <c r="A3" s="3">
        <v>2</v>
      </c>
      <c r="B3" s="4" t="s">
        <v>1</v>
      </c>
      <c r="C3" s="3" t="s">
        <v>2</v>
      </c>
      <c r="D3" s="12">
        <v>80206550</v>
      </c>
      <c r="E3" s="20">
        <v>60</v>
      </c>
      <c r="F3" s="5">
        <v>111765.06</v>
      </c>
      <c r="G3" s="5">
        <v>99864.000000000015</v>
      </c>
      <c r="H3" s="5">
        <f t="shared" ref="H3:H10" si="0">(G3/F3)*100</f>
        <v>89.351716896139109</v>
      </c>
      <c r="I3" s="3">
        <v>209.5</v>
      </c>
      <c r="J3" s="13">
        <f t="shared" ref="J3:J10" si="1">I3*F3</f>
        <v>23414780.07</v>
      </c>
      <c r="K3" s="13">
        <v>20634912</v>
      </c>
      <c r="L3" s="13">
        <f>K3*0.01</f>
        <v>206349.12</v>
      </c>
      <c r="M3" s="14">
        <f>K3-L3</f>
        <v>20428562.879999999</v>
      </c>
      <c r="N3" s="14">
        <f t="shared" ref="N3:N10" si="2">D3/M3</f>
        <v>3.9261963982069403</v>
      </c>
      <c r="O3" s="15">
        <v>0.53459999999999996</v>
      </c>
      <c r="P3" s="14">
        <f t="shared" ref="P3:P10" si="3">O3*G3</f>
        <v>53387.294400000006</v>
      </c>
      <c r="Q3" s="14">
        <f>P3/1000</f>
        <v>53.387294400000009</v>
      </c>
      <c r="R3" s="14">
        <f>Q3*25</f>
        <v>1334.6823600000002</v>
      </c>
      <c r="S3" s="12">
        <v>909655031.76170754</v>
      </c>
      <c r="T3" s="12">
        <f t="shared" ref="T3:T10" si="4">G3*25</f>
        <v>2496600.0000000005</v>
      </c>
      <c r="U3" s="14">
        <f t="shared" ref="U3:U10" si="5">S3/T3</f>
        <v>364.35753895766538</v>
      </c>
      <c r="V3" s="12">
        <f t="shared" ref="V3:V10" si="6">J3*30</f>
        <v>702443402.10000002</v>
      </c>
      <c r="W3" s="16">
        <f t="shared" ref="W3:W10" si="7">V3-S3</f>
        <v>-207211629.66170752</v>
      </c>
    </row>
    <row r="4" spans="1:24" s="17" customFormat="1" ht="21" customHeight="1" x14ac:dyDescent="0.2">
      <c r="A4" s="3">
        <v>1</v>
      </c>
      <c r="B4" s="4" t="s">
        <v>3</v>
      </c>
      <c r="C4" s="3" t="s">
        <v>4</v>
      </c>
      <c r="D4" s="12">
        <v>33000500</v>
      </c>
      <c r="E4" s="20">
        <v>37.5</v>
      </c>
      <c r="F4" s="5">
        <v>172726.2</v>
      </c>
      <c r="G4" s="5">
        <v>49822.5</v>
      </c>
      <c r="H4" s="5">
        <f t="shared" si="0"/>
        <v>28.844784404450508</v>
      </c>
      <c r="I4" s="3">
        <v>209.5</v>
      </c>
      <c r="J4" s="13">
        <f t="shared" si="1"/>
        <v>36186138.900000006</v>
      </c>
      <c r="K4" s="13">
        <v>10294830</v>
      </c>
      <c r="L4" s="13">
        <f t="shared" ref="L4:L10" si="8">K4*0.01</f>
        <v>102948.3</v>
      </c>
      <c r="M4" s="14">
        <f t="shared" ref="M4:M10" si="9">K4-L4</f>
        <v>10191881.699999999</v>
      </c>
      <c r="N4" s="14">
        <f t="shared" si="2"/>
        <v>3.2379202360639647</v>
      </c>
      <c r="O4" s="15">
        <v>0.53459999999999996</v>
      </c>
      <c r="P4" s="14">
        <f t="shared" si="3"/>
        <v>26635.108499999998</v>
      </c>
      <c r="Q4" s="14">
        <f t="shared" ref="Q4:Q10" si="10">P4/1000</f>
        <v>26.635108499999998</v>
      </c>
      <c r="R4" s="14">
        <f t="shared" ref="R4:R10" si="11">Q4*25</f>
        <v>665.87771249999992</v>
      </c>
      <c r="S4" s="12">
        <v>395070779.69966006</v>
      </c>
      <c r="T4" s="12">
        <f t="shared" si="4"/>
        <v>1245562.5</v>
      </c>
      <c r="U4" s="14">
        <f t="shared" si="5"/>
        <v>317.18262206806969</v>
      </c>
      <c r="V4" s="12">
        <f t="shared" si="6"/>
        <v>1085584167.0000002</v>
      </c>
      <c r="W4" s="16">
        <f t="shared" si="7"/>
        <v>690513387.30034018</v>
      </c>
    </row>
    <row r="5" spans="1:24" s="17" customFormat="1" ht="21" customHeight="1" x14ac:dyDescent="0.2">
      <c r="A5" s="3">
        <v>5</v>
      </c>
      <c r="B5" s="4" t="s">
        <v>5</v>
      </c>
      <c r="C5" s="3" t="s">
        <v>2</v>
      </c>
      <c r="D5" s="12">
        <v>37822600</v>
      </c>
      <c r="E5" s="20">
        <v>28.8</v>
      </c>
      <c r="F5" s="5">
        <v>36921.06</v>
      </c>
      <c r="G5" s="5">
        <v>52560</v>
      </c>
      <c r="H5" s="5">
        <f t="shared" si="0"/>
        <v>142.35777629353004</v>
      </c>
      <c r="I5" s="3">
        <v>209.5</v>
      </c>
      <c r="J5" s="13">
        <f t="shared" si="1"/>
        <v>7734962.0699999994</v>
      </c>
      <c r="K5" s="13">
        <v>10860480</v>
      </c>
      <c r="L5" s="13">
        <f t="shared" si="8"/>
        <v>108604.8</v>
      </c>
      <c r="M5" s="14">
        <f t="shared" si="9"/>
        <v>10751875.199999999</v>
      </c>
      <c r="N5" s="14">
        <f t="shared" si="2"/>
        <v>3.5177677657568052</v>
      </c>
      <c r="O5" s="15">
        <v>0.53459999999999996</v>
      </c>
      <c r="P5" s="14">
        <f t="shared" si="3"/>
        <v>28098.575999999997</v>
      </c>
      <c r="Q5" s="14">
        <f t="shared" si="10"/>
        <v>28.098575999999998</v>
      </c>
      <c r="R5" s="14">
        <f t="shared" si="11"/>
        <v>702.46439999999996</v>
      </c>
      <c r="S5" s="12">
        <v>404672271.04902226</v>
      </c>
      <c r="T5" s="12">
        <f t="shared" si="4"/>
        <v>1314000</v>
      </c>
      <c r="U5" s="14">
        <f t="shared" si="5"/>
        <v>307.96976487749032</v>
      </c>
      <c r="V5" s="12">
        <f t="shared" si="6"/>
        <v>232048862.09999999</v>
      </c>
      <c r="W5" s="16">
        <f t="shared" si="7"/>
        <v>-172623408.94902226</v>
      </c>
    </row>
    <row r="6" spans="1:24" s="17" customFormat="1" ht="21" customHeight="1" x14ac:dyDescent="0.2">
      <c r="A6" s="3">
        <v>3</v>
      </c>
      <c r="B6" s="4" t="s">
        <v>6</v>
      </c>
      <c r="C6" s="3" t="s">
        <v>7</v>
      </c>
      <c r="D6" s="12">
        <v>10221000</v>
      </c>
      <c r="E6" s="20">
        <v>10</v>
      </c>
      <c r="F6" s="5">
        <v>34012.080000000002</v>
      </c>
      <c r="G6" s="5">
        <v>6570</v>
      </c>
      <c r="H6" s="5">
        <f t="shared" si="0"/>
        <v>19.316666313850842</v>
      </c>
      <c r="I6" s="3">
        <v>209.5</v>
      </c>
      <c r="J6" s="13">
        <f t="shared" si="1"/>
        <v>7125530.7600000007</v>
      </c>
      <c r="K6" s="13">
        <v>1357560</v>
      </c>
      <c r="L6" s="13">
        <f t="shared" si="8"/>
        <v>13575.6</v>
      </c>
      <c r="M6" s="14">
        <f t="shared" si="9"/>
        <v>1343984.4</v>
      </c>
      <c r="N6" s="14">
        <f t="shared" si="2"/>
        <v>7.6049989865953807</v>
      </c>
      <c r="O6" s="15">
        <v>0.53459999999999996</v>
      </c>
      <c r="P6" s="14">
        <f t="shared" si="3"/>
        <v>3512.3219999999997</v>
      </c>
      <c r="Q6" s="14">
        <f t="shared" si="10"/>
        <v>3.5123219999999997</v>
      </c>
      <c r="R6" s="14">
        <f t="shared" si="11"/>
        <v>87.808049999999994</v>
      </c>
      <c r="S6" s="12">
        <v>105833700.42264278</v>
      </c>
      <c r="T6" s="12">
        <f t="shared" si="4"/>
        <v>164250</v>
      </c>
      <c r="U6" s="14">
        <f t="shared" si="5"/>
        <v>644.34520805261968</v>
      </c>
      <c r="V6" s="12">
        <f t="shared" si="6"/>
        <v>213765922.80000001</v>
      </c>
      <c r="W6" s="16">
        <f t="shared" si="7"/>
        <v>107932222.37735723</v>
      </c>
    </row>
    <row r="7" spans="1:24" s="17" customFormat="1" ht="21" customHeight="1" x14ac:dyDescent="0.2">
      <c r="A7" s="3">
        <v>4</v>
      </c>
      <c r="B7" s="4" t="s">
        <v>8</v>
      </c>
      <c r="C7" s="3" t="s">
        <v>9</v>
      </c>
      <c r="D7" s="12">
        <v>38624600</v>
      </c>
      <c r="E7" s="20">
        <v>30</v>
      </c>
      <c r="F7" s="5">
        <v>16730.46</v>
      </c>
      <c r="G7" s="5">
        <v>87600</v>
      </c>
      <c r="H7" s="5">
        <f t="shared" si="0"/>
        <v>523.5958843928978</v>
      </c>
      <c r="I7" s="3">
        <v>209.5</v>
      </c>
      <c r="J7" s="13">
        <f t="shared" si="1"/>
        <v>3505031.3699999996</v>
      </c>
      <c r="K7" s="13">
        <v>18100800</v>
      </c>
      <c r="L7" s="13">
        <f t="shared" si="8"/>
        <v>181008</v>
      </c>
      <c r="M7" s="14">
        <f t="shared" si="9"/>
        <v>17919792</v>
      </c>
      <c r="N7" s="14">
        <f t="shared" si="2"/>
        <v>2.1554156432172875</v>
      </c>
      <c r="O7" s="15">
        <v>0.53459999999999996</v>
      </c>
      <c r="P7" s="14">
        <f t="shared" si="3"/>
        <v>46830.96</v>
      </c>
      <c r="Q7" s="14">
        <f t="shared" si="10"/>
        <v>46.830959999999997</v>
      </c>
      <c r="R7" s="14">
        <f t="shared" si="11"/>
        <v>1170.7739999999999</v>
      </c>
      <c r="S7" s="12">
        <v>256740412.00153407</v>
      </c>
      <c r="T7" s="12">
        <f t="shared" si="4"/>
        <v>2190000</v>
      </c>
      <c r="U7" s="14">
        <f t="shared" si="5"/>
        <v>117.23306484088315</v>
      </c>
      <c r="V7" s="12">
        <f t="shared" si="6"/>
        <v>105150941.09999999</v>
      </c>
      <c r="W7" s="16">
        <f t="shared" si="7"/>
        <v>-151589470.90153408</v>
      </c>
    </row>
    <row r="8" spans="1:24" s="17" customFormat="1" ht="21" customHeight="1" x14ac:dyDescent="0.2">
      <c r="A8" s="3">
        <v>6</v>
      </c>
      <c r="B8" s="4" t="s">
        <v>10</v>
      </c>
      <c r="C8" s="3" t="s">
        <v>9</v>
      </c>
      <c r="D8" s="12">
        <v>18431948</v>
      </c>
      <c r="E8" s="20">
        <v>14.5</v>
      </c>
      <c r="F8" s="5">
        <v>37440</v>
      </c>
      <c r="G8" s="5">
        <v>18396</v>
      </c>
      <c r="H8" s="5">
        <f t="shared" si="0"/>
        <v>49.13461538461538</v>
      </c>
      <c r="I8" s="3">
        <v>209.5</v>
      </c>
      <c r="J8" s="13">
        <f t="shared" si="1"/>
        <v>7843680</v>
      </c>
      <c r="K8" s="13">
        <v>3801167.9999999995</v>
      </c>
      <c r="L8" s="13">
        <f t="shared" si="8"/>
        <v>38011.679999999993</v>
      </c>
      <c r="M8" s="14">
        <f t="shared" si="9"/>
        <v>3763156.3199999994</v>
      </c>
      <c r="N8" s="14">
        <f t="shared" si="2"/>
        <v>4.8980022174577122</v>
      </c>
      <c r="O8" s="15">
        <v>0.53459999999999996</v>
      </c>
      <c r="P8" s="14">
        <f t="shared" si="3"/>
        <v>9834.5015999999996</v>
      </c>
      <c r="Q8" s="14">
        <f t="shared" si="10"/>
        <v>9.8345015999999994</v>
      </c>
      <c r="R8" s="14">
        <f t="shared" si="11"/>
        <v>245.86254</v>
      </c>
      <c r="S8" s="12">
        <v>206711741.23295301</v>
      </c>
      <c r="T8" s="12">
        <f t="shared" si="4"/>
        <v>459900</v>
      </c>
      <c r="U8" s="14">
        <f t="shared" si="5"/>
        <v>449.4710616067689</v>
      </c>
      <c r="V8" s="12">
        <f t="shared" si="6"/>
        <v>235310400</v>
      </c>
      <c r="W8" s="16">
        <f t="shared" si="7"/>
        <v>28598658.767046988</v>
      </c>
    </row>
    <row r="9" spans="1:24" s="17" customFormat="1" ht="21" customHeight="1" x14ac:dyDescent="0.2">
      <c r="A9" s="3">
        <v>7</v>
      </c>
      <c r="B9" s="4" t="s">
        <v>11</v>
      </c>
      <c r="C9" s="3" t="s">
        <v>12</v>
      </c>
      <c r="D9" s="12">
        <v>11606250</v>
      </c>
      <c r="E9" s="20">
        <v>15</v>
      </c>
      <c r="F9" s="5">
        <v>68499.360000000001</v>
      </c>
      <c r="G9" s="5">
        <v>14016</v>
      </c>
      <c r="H9" s="5">
        <f t="shared" si="0"/>
        <v>20.461505041798929</v>
      </c>
      <c r="I9" s="3">
        <v>209.5</v>
      </c>
      <c r="J9" s="13">
        <f t="shared" si="1"/>
        <v>14350615.92</v>
      </c>
      <c r="K9" s="13">
        <v>2896127.9999999995</v>
      </c>
      <c r="L9" s="13">
        <f t="shared" si="8"/>
        <v>28961.279999999995</v>
      </c>
      <c r="M9" s="14">
        <f t="shared" si="9"/>
        <v>2867166.7199999997</v>
      </c>
      <c r="N9" s="14">
        <f t="shared" si="2"/>
        <v>4.0479857411291382</v>
      </c>
      <c r="O9" s="15">
        <v>0.53459999999999996</v>
      </c>
      <c r="P9" s="14">
        <f t="shared" si="3"/>
        <v>7492.9535999999998</v>
      </c>
      <c r="Q9" s="14">
        <f t="shared" si="10"/>
        <v>7.4929535999999999</v>
      </c>
      <c r="R9" s="14">
        <f t="shared" si="11"/>
        <v>187.32383999999999</v>
      </c>
      <c r="S9" s="12">
        <v>138386145.13054731</v>
      </c>
      <c r="T9" s="12">
        <f t="shared" si="4"/>
        <v>350400</v>
      </c>
      <c r="U9" s="14">
        <f t="shared" si="5"/>
        <v>394.93762879722408</v>
      </c>
      <c r="V9" s="12">
        <f t="shared" si="6"/>
        <v>430518477.60000002</v>
      </c>
      <c r="W9" s="16">
        <f t="shared" si="7"/>
        <v>292132332.46945274</v>
      </c>
    </row>
    <row r="10" spans="1:24" s="17" customFormat="1" ht="21" customHeight="1" x14ac:dyDescent="0.2">
      <c r="A10" s="3">
        <v>8</v>
      </c>
      <c r="B10" s="4" t="s">
        <v>13</v>
      </c>
      <c r="C10" s="3" t="s">
        <v>14</v>
      </c>
      <c r="D10" s="12">
        <v>18523000</v>
      </c>
      <c r="E10" s="20">
        <v>30</v>
      </c>
      <c r="F10" s="5">
        <v>28252.26</v>
      </c>
      <c r="G10" s="5">
        <v>49275</v>
      </c>
      <c r="H10" s="5">
        <f t="shared" si="0"/>
        <v>174.41082589499035</v>
      </c>
      <c r="I10" s="3">
        <v>209.5</v>
      </c>
      <c r="J10" s="13">
        <f t="shared" si="1"/>
        <v>5918848.4699999997</v>
      </c>
      <c r="K10" s="13">
        <v>10181700</v>
      </c>
      <c r="L10" s="13">
        <f t="shared" si="8"/>
        <v>101817</v>
      </c>
      <c r="M10" s="14">
        <f t="shared" si="9"/>
        <v>10079883</v>
      </c>
      <c r="N10" s="14">
        <f t="shared" si="2"/>
        <v>1.8376205358732836</v>
      </c>
      <c r="O10" s="15">
        <v>0.53459999999999996</v>
      </c>
      <c r="P10" s="14">
        <f t="shared" si="3"/>
        <v>26342.414999999997</v>
      </c>
      <c r="Q10" s="14">
        <f t="shared" si="10"/>
        <v>26.342414999999995</v>
      </c>
      <c r="R10" s="14">
        <f t="shared" si="11"/>
        <v>658.56037499999991</v>
      </c>
      <c r="S10" s="12">
        <v>161598988.49978474</v>
      </c>
      <c r="T10" s="12">
        <f t="shared" si="4"/>
        <v>1231875</v>
      </c>
      <c r="U10" s="14">
        <f t="shared" si="5"/>
        <v>131.18131993894247</v>
      </c>
      <c r="V10" s="12">
        <f t="shared" si="6"/>
        <v>177565454.09999999</v>
      </c>
      <c r="W10" s="16">
        <f t="shared" si="7"/>
        <v>15966465.600215256</v>
      </c>
    </row>
    <row r="11" spans="1:24" ht="21" customHeight="1" thickBot="1" x14ac:dyDescent="0.25">
      <c r="A11" s="6"/>
      <c r="B11" s="7"/>
      <c r="C11" s="8"/>
      <c r="D11" s="8"/>
      <c r="E11" s="8"/>
      <c r="F11" s="9"/>
      <c r="G11" s="9"/>
      <c r="H11" s="9"/>
      <c r="I11" s="9"/>
      <c r="J11" s="10"/>
      <c r="K11" s="9"/>
      <c r="L11" s="9"/>
      <c r="M11" s="9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21" customHeight="1" x14ac:dyDescent="0.2">
      <c r="A12"/>
      <c r="S12" s="18"/>
      <c r="T12" s="18"/>
    </row>
    <row r="15" spans="1:24" x14ac:dyDescent="0.2">
      <c r="A15"/>
    </row>
    <row r="16" spans="1:24" x14ac:dyDescent="0.2">
      <c r="A16"/>
    </row>
    <row r="17" spans="1:1" x14ac:dyDescent="0.2">
      <c r="A17"/>
    </row>
    <row r="18" spans="1:1" x14ac:dyDescent="0.2">
      <c r="A18"/>
    </row>
    <row r="19" spans="1:1" x14ac:dyDescent="0.2">
      <c r="A19"/>
    </row>
    <row r="20" spans="1:1" x14ac:dyDescent="0.2">
      <c r="A20"/>
    </row>
    <row r="21" spans="1:1" x14ac:dyDescent="0.2">
      <c r="A21"/>
    </row>
    <row r="22" spans="1:1" x14ac:dyDescent="0.2">
      <c r="A22"/>
    </row>
    <row r="23" spans="1:1" x14ac:dyDescent="0.2">
      <c r="A23"/>
    </row>
    <row r="24" spans="1:1" x14ac:dyDescent="0.2">
      <c r="A24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SUB-DATA  FOR PREDI. MODEL DEV.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dcterms:created xsi:type="dcterms:W3CDTF">2025-11-18T05:46:25Z</dcterms:created>
  <dcterms:modified xsi:type="dcterms:W3CDTF">2025-11-22T10:15:34Z</dcterms:modified>
</cp:coreProperties>
</file>